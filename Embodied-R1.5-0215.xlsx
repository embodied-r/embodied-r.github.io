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iffyuan/Documents/Website/polaris-evals.github.io/"/>
    </mc:Choice>
  </mc:AlternateContent>
  <xr:revisionPtr revIDLastSave="0" documentId="13_ncr:1_{16EA7107-A7C9-3643-87FE-081F5E637578}" xr6:coauthVersionLast="47" xr6:coauthVersionMax="47" xr10:uidLastSave="{00000000-0000-0000-0000-000000000000}"/>
  <bookViews>
    <workbookView xWindow="0" yWindow="680" windowWidth="29400" windowHeight="16840" activeTab="2" xr2:uid="{00000000-000D-0000-FFFF-FFFF00000000}"/>
  </bookViews>
  <sheets>
    <sheet name="Affordance" sheetId="1" r:id="rId1"/>
    <sheet name="VLM" sheetId="2" r:id="rId2"/>
    <sheet name="VLA" sheetId="3" r:id="rId3"/>
    <sheet name="Compa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4" l="1"/>
  <c r="H10" i="4"/>
  <c r="H8" i="4"/>
  <c r="H6" i="4"/>
  <c r="H5" i="4"/>
  <c r="H4" i="4"/>
  <c r="H2" i="4"/>
  <c r="G46" i="3"/>
  <c r="G45" i="3"/>
  <c r="G44" i="3"/>
  <c r="G43" i="3"/>
  <c r="G42" i="3"/>
  <c r="G40" i="3"/>
  <c r="G39" i="3"/>
  <c r="G38" i="3"/>
  <c r="G37" i="3"/>
  <c r="G36" i="3"/>
  <c r="G35" i="3"/>
  <c r="G34" i="3"/>
  <c r="G33" i="3"/>
  <c r="G32" i="3"/>
  <c r="F29" i="3"/>
  <c r="F28" i="3"/>
  <c r="F27" i="3"/>
  <c r="F26" i="3"/>
  <c r="F25" i="3"/>
  <c r="F24" i="3"/>
  <c r="F23" i="3"/>
  <c r="F22" i="3"/>
  <c r="F19" i="3"/>
  <c r="F18" i="3"/>
  <c r="F17" i="3"/>
  <c r="F16" i="3"/>
  <c r="F15" i="3"/>
  <c r="F14" i="3"/>
  <c r="F13" i="3"/>
  <c r="F12" i="3"/>
  <c r="F9" i="3"/>
  <c r="F8" i="3"/>
  <c r="F7" i="3"/>
  <c r="F6" i="3"/>
  <c r="F5" i="3"/>
  <c r="F4" i="3"/>
  <c r="F3" i="3"/>
  <c r="F2" i="3"/>
  <c r="X15" i="2"/>
  <c r="S15" i="2"/>
  <c r="J15" i="2"/>
  <c r="X14" i="2"/>
  <c r="S14" i="2"/>
  <c r="J14" i="2"/>
  <c r="X13" i="2"/>
  <c r="S13" i="2"/>
  <c r="J13" i="2"/>
  <c r="X12" i="2"/>
  <c r="S12" i="2"/>
  <c r="J12" i="2"/>
  <c r="X11" i="2"/>
  <c r="S11" i="2"/>
  <c r="J11" i="2"/>
  <c r="X10" i="2"/>
  <c r="S10" i="2"/>
  <c r="J10" i="2"/>
  <c r="X8" i="2"/>
  <c r="S8" i="2"/>
  <c r="J8" i="2"/>
  <c r="X7" i="2"/>
  <c r="S7" i="2"/>
  <c r="J7" i="2"/>
  <c r="X6" i="2"/>
  <c r="S6" i="2"/>
  <c r="J6" i="2"/>
  <c r="X5" i="2"/>
  <c r="S5" i="2"/>
  <c r="J5" i="2"/>
</calcChain>
</file>

<file path=xl/sharedStrings.xml><?xml version="1.0" encoding="utf-8"?>
<sst xmlns="http://schemas.openxmlformats.org/spreadsheetml/2006/main" count="220" uniqueCount="139">
  <si>
    <t>Maniskill
PartNet Benchmark</t>
  </si>
  <si>
    <t>Safe</t>
  </si>
  <si>
    <t>Door</t>
  </si>
  <si>
    <t>Display</t>
  </si>
  <si>
    <t>Refrigerator</t>
  </si>
  <si>
    <t>Laptop</t>
  </si>
  <si>
    <t>Lighter</t>
  </si>
  <si>
    <t>Microwave</t>
  </si>
  <si>
    <t>Mouse</t>
  </si>
  <si>
    <t>Box</t>
  </si>
  <si>
    <t>TrashCan</t>
  </si>
  <si>
    <t>KitchenPot</t>
  </si>
  <si>
    <t>Suitcase</t>
  </si>
  <si>
    <t>Pliers</t>
  </si>
  <si>
    <t>StorageFurniture</t>
  </si>
  <si>
    <t>Remote</t>
  </si>
  <si>
    <t>Bottle</t>
  </si>
  <si>
    <t>Where2Act</t>
  </si>
  <si>
    <t>FlowBot3D</t>
  </si>
  <si>
    <t>Implicit3D</t>
  </si>
  <si>
    <t>ManipLLM</t>
  </si>
  <si>
    <t>Embodied-R1.5</t>
  </si>
  <si>
    <t>FoldingChair</t>
  </si>
  <si>
    <t>Toaster</t>
  </si>
  <si>
    <t>Lamp</t>
  </si>
  <si>
    <t>Dispenser</t>
  </si>
  <si>
    <t>AVG (Seen)</t>
  </si>
  <si>
    <t>Toilet</t>
  </si>
  <si>
    <t>Scissors</t>
  </si>
  <si>
    <t>Table</t>
  </si>
  <si>
    <t>Stapler</t>
  </si>
  <si>
    <t>Kettle</t>
  </si>
  <si>
    <t>USB</t>
  </si>
  <si>
    <t>WashingMachine</t>
  </si>
  <si>
    <t>Oven</t>
  </si>
  <si>
    <t>Faucet</t>
  </si>
  <si>
    <t>Phone</t>
  </si>
  <si>
    <t>AVG (Unseen)</t>
  </si>
  <si>
    <t>Simpler-Google 
Benchmark
(Visual Matching)</t>
  </si>
  <si>
    <t>Pick
Coke Can</t>
  </si>
  <si>
    <t>Move
Near</t>
  </si>
  <si>
    <t>Open/Close
Drawer</t>
  </si>
  <si>
    <t>Open Top Drawer
and Place Apple</t>
  </si>
  <si>
    <t>Overall</t>
  </si>
  <si>
    <t>RT-1-X</t>
  </si>
  <si>
    <t>RT-2-X</t>
  </si>
  <si>
    <t>OpenVLA</t>
  </si>
  <si>
    <t>SpatialVLA</t>
  </si>
  <si>
    <t>𝜋0</t>
  </si>
  <si>
    <t>𝜋0-FAST</t>
  </si>
  <si>
    <t>GR00T N1.5</t>
  </si>
  <si>
    <t>Embodied-R1.5-VLA</t>
  </si>
  <si>
    <t>Simpler-Google 
Benchmark
(Visual Aggregation)</t>
  </si>
  <si>
    <t>Simpler-WidowX 
Benchmark
(Visual Matching)</t>
  </si>
  <si>
    <t xml:space="preserve"> Put Spoon on Towel </t>
  </si>
  <si>
    <t>Put Carrot on Plate</t>
  </si>
  <si>
    <t>Stack Blocks</t>
  </si>
  <si>
    <t xml:space="preserve"> Put Eggplant in Basket</t>
  </si>
  <si>
    <t>CogACT</t>
  </si>
  <si>
    <t>pi0</t>
  </si>
  <si>
    <t>pi0-FAST</t>
  </si>
  <si>
    <t>LIBERO Benchmark</t>
  </si>
  <si>
    <t>Pt.</t>
  </si>
  <si>
    <t xml:space="preserve">Goal   </t>
  </si>
  <si>
    <t>Spatial</t>
  </si>
  <si>
    <t>Object</t>
  </si>
  <si>
    <t>Long</t>
  </si>
  <si>
    <t>Y</t>
  </si>
  <si>
    <t>CoT-VLA</t>
  </si>
  <si>
    <t>GR00T N1</t>
  </si>
  <si>
    <t>OpenVLA-OFT</t>
  </si>
  <si>
    <t>𝜋0.5</t>
  </si>
  <si>
    <t>Diffusion Policy</t>
  </si>
  <si>
    <t>N</t>
  </si>
  <si>
    <t>Action Expert</t>
  </si>
  <si>
    <t>VLM Backbone</t>
  </si>
  <si>
    <t>Steps</t>
  </si>
  <si>
    <t>LIBERO Goal</t>
  </si>
  <si>
    <t>LIBERO Spatial</t>
  </si>
  <si>
    <t>LIBERO Object</t>
  </si>
  <si>
    <t>LIBERO 10</t>
  </si>
  <si>
    <t>GR00T</t>
  </si>
  <si>
    <t>10K</t>
  </si>
  <si>
    <t>Qwen3-VL-8B</t>
  </si>
  <si>
    <t>50K</t>
  </si>
  <si>
    <t>80K</t>
  </si>
  <si>
    <t>OFT</t>
  </si>
  <si>
    <t>Model</t>
  </si>
  <si>
    <t>Institution</t>
  </si>
  <si>
    <t>Embodied Cognition and Spatial Reasoning</t>
  </si>
  <si>
    <t>Embodied Pointing</t>
  </si>
  <si>
    <t>Embodied Planning and Correction</t>
  </si>
  <si>
    <t>ERQA</t>
  </si>
  <si>
    <t>OpenEQA</t>
  </si>
  <si>
    <t>CV-Bench</t>
  </si>
  <si>
    <t>EmbSpatial</t>
  </si>
  <si>
    <t>SAT</t>
  </si>
  <si>
    <t>BLINK</t>
  </si>
  <si>
    <t>RoboSpatial</t>
  </si>
  <si>
    <t>VAbench-P</t>
  </si>
  <si>
    <t>Where2place</t>
  </si>
  <si>
    <t>RefSpatial</t>
  </si>
  <si>
    <t>Part-Afford</t>
  </si>
  <si>
    <t>RoboRefit</t>
  </si>
  <si>
    <t>RoboAfford</t>
  </si>
  <si>
    <t>PIO</t>
  </si>
  <si>
    <t>Pixmo-Point</t>
  </si>
  <si>
    <t>RoboVQA</t>
  </si>
  <si>
    <t>EgoPlan2</t>
  </si>
  <si>
    <t>Cosmos</t>
  </si>
  <si>
    <t>RoboFAC</t>
  </si>
  <si>
    <t>All</t>
  </si>
  <si>
    <t>Test</t>
  </si>
  <si>
    <t>Rel. Depth</t>
  </si>
  <si>
    <t>7 Tasks</t>
  </si>
  <si>
    <t>S1&amp;S2</t>
  </si>
  <si>
    <t>8 Tasks</t>
  </si>
  <si>
    <t>Reason</t>
  </si>
  <si>
    <t>4 Tasks</t>
  </si>
  <si>
    <t>Generlist</t>
  </si>
  <si>
    <t>Gemini-2.5-Pro</t>
  </si>
  <si>
    <t>Google</t>
  </si>
  <si>
    <t>GPT-5</t>
  </si>
  <si>
    <t>OpenAI</t>
  </si>
  <si>
    <t>Gemini-Robotics-ER-1.5</t>
  </si>
  <si>
    <t>Qwen3VL-8B</t>
  </si>
  <si>
    <t>Qwen</t>
  </si>
  <si>
    <t>Embodied</t>
  </si>
  <si>
    <t>RoboBrain2.0-7B</t>
  </si>
  <si>
    <t>BAAI</t>
  </si>
  <si>
    <t>Mimo-Embodied</t>
  </si>
  <si>
    <t>xiaomi</t>
  </si>
  <si>
    <t>Pelican-VL</t>
  </si>
  <si>
    <t>X-Humanoid</t>
  </si>
  <si>
    <t>Embodied-R1</t>
  </si>
  <si>
    <t>ER</t>
  </si>
  <si>
    <t>Embodied-R1.5-SFT</t>
  </si>
  <si>
    <t>Embodied-R1.5-Preview</t>
  </si>
  <si>
    <t>GR00T N1.5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</si>
</sst>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8">
    <font>
      <sz val="12"/>
      <name val="Microsoft YaHei"/>
    </font>
    <font>
      <sz val="12"/>
      <name val="Microsoft YaHei"/>
      <family val="2"/>
      <charset val="134"/>
    </font>
    <font>
      <sz val="11"/>
      <name val="腾讯体 W3"/>
      <family val="3"/>
      <charset val="134"/>
    </font>
    <font>
      <sz val="10"/>
      <name val="Microsoft YaHei"/>
      <family val="2"/>
      <charset val="134"/>
    </font>
    <font>
      <b/>
      <sz val="11"/>
      <name val="腾讯体 W3"/>
    </font>
    <font>
      <b/>
      <sz val="10"/>
      <name val="Microsoft YaHei"/>
      <family val="2"/>
      <charset val="134"/>
    </font>
    <font>
      <b/>
      <sz val="12"/>
      <name val="Microsoft YaHei"/>
      <family val="2"/>
      <charset val="134"/>
    </font>
    <font>
      <sz val="9"/>
      <name val="FangSong"/>
      <family val="3"/>
      <charset val="134"/>
    </font>
  </fonts>
  <fills count="13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8CDDFA"/>
        <bgColor auto="1"/>
      </patternFill>
    </fill>
    <fill>
      <patternFill patternType="none"/>
    </fill>
    <fill>
      <patternFill patternType="solid">
        <fgColor rgb="FF98D7B6"/>
        <bgColor auto="1"/>
      </patternFill>
    </fill>
    <fill>
      <patternFill patternType="solid">
        <fgColor rgb="FFF5C400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FF0000"/>
        <bgColor auto="1"/>
      </patternFill>
    </fill>
    <fill>
      <patternFill patternType="none">
        <fgColor auto="1"/>
        <bgColor auto="1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4" fillId="4" borderId="0" xfId="0" applyFont="1" applyFill="1" applyAlignment="1">
      <alignment horizontal="center" vertical="center"/>
    </xf>
    <xf numFmtId="177" fontId="4" fillId="4" borderId="0" xfId="0" applyNumberFormat="1" applyFont="1" applyFill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17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7" fontId="6" fillId="0" borderId="0" xfId="0" applyNumberFormat="1" applyFont="1" applyAlignment="1">
      <alignment horizontal="center" vertical="center"/>
    </xf>
    <xf numFmtId="177" fontId="6" fillId="4" borderId="0" xfId="0" applyNumberFormat="1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177" fontId="1" fillId="4" borderId="0" xfId="0" applyNumberFormat="1" applyFont="1" applyFill="1" applyAlignment="1">
      <alignment horizontal="center" vertical="center"/>
    </xf>
    <xf numFmtId="177" fontId="6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177" fontId="4" fillId="11" borderId="0" xfId="0" applyNumberFormat="1" applyFont="1" applyFill="1" applyAlignment="1">
      <alignment horizontal="center" vertical="center"/>
    </xf>
    <xf numFmtId="177" fontId="4" fillId="12" borderId="0" xfId="0" applyNumberFormat="1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0" fillId="12" borderId="0" xfId="0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2" fillId="9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2" fillId="10" borderId="2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ffordance"/>
  <dimension ref="A1:Y20"/>
  <sheetViews>
    <sheetView workbookViewId="0"/>
  </sheetViews>
  <sheetFormatPr baseColWidth="10" defaultColWidth="13.7109375" defaultRowHeight="18" customHeight="1"/>
  <cols>
    <col min="1" max="1" width="25" style="39" customWidth="1"/>
    <col min="2" max="25" width="13.7109375" style="40"/>
  </cols>
  <sheetData>
    <row r="1" spans="1:22" ht="18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4"/>
      <c r="S1" s="41"/>
      <c r="T1" s="42"/>
      <c r="U1" s="42"/>
      <c r="V1" s="4"/>
    </row>
    <row r="2" spans="1:22" ht="18" customHeight="1">
      <c r="A2" s="5" t="s">
        <v>17</v>
      </c>
      <c r="B2" s="6">
        <v>0.26</v>
      </c>
      <c r="C2" s="6">
        <v>0.36</v>
      </c>
      <c r="D2" s="6">
        <v>0.19</v>
      </c>
      <c r="E2" s="6">
        <v>0.27</v>
      </c>
      <c r="F2" s="6">
        <v>0.23</v>
      </c>
      <c r="G2" s="6">
        <v>0.11</v>
      </c>
      <c r="H2" s="6">
        <v>0.15</v>
      </c>
      <c r="I2" s="6">
        <v>0.47</v>
      </c>
      <c r="J2" s="6">
        <v>0.14000000000000001</v>
      </c>
      <c r="K2" s="6">
        <v>0.24</v>
      </c>
      <c r="L2" s="6">
        <v>0.13</v>
      </c>
      <c r="M2" s="6">
        <v>0.12</v>
      </c>
      <c r="N2" s="6">
        <v>0.56000000000000005</v>
      </c>
      <c r="O2" s="6">
        <v>0.68</v>
      </c>
      <c r="P2" s="6">
        <v>7.0000000000000007E-2</v>
      </c>
      <c r="Q2" s="6">
        <v>0.4</v>
      </c>
      <c r="R2" s="4"/>
      <c r="S2" s="4"/>
      <c r="T2" s="4"/>
      <c r="U2" s="4"/>
      <c r="V2" s="4"/>
    </row>
    <row r="3" spans="1:22" ht="18" customHeight="1">
      <c r="A3" s="5" t="s">
        <v>18</v>
      </c>
      <c r="B3" s="6">
        <v>0.67</v>
      </c>
      <c r="C3" s="6">
        <v>0.55000000000000004</v>
      </c>
      <c r="D3" s="6">
        <v>0.2</v>
      </c>
      <c r="E3" s="6">
        <v>0.32</v>
      </c>
      <c r="F3" s="6">
        <v>0.27</v>
      </c>
      <c r="G3" s="6">
        <v>0.31</v>
      </c>
      <c r="H3" s="6">
        <v>0.61</v>
      </c>
      <c r="I3" s="6">
        <v>0.68</v>
      </c>
      <c r="J3" s="6">
        <v>0.15</v>
      </c>
      <c r="K3" s="6">
        <v>0.28000000000000003</v>
      </c>
      <c r="L3" s="6">
        <v>0.36</v>
      </c>
      <c r="M3" s="6">
        <v>0.18</v>
      </c>
      <c r="N3" s="6">
        <v>0.21</v>
      </c>
      <c r="O3" s="6">
        <v>0.7</v>
      </c>
      <c r="P3" s="6">
        <v>0.18</v>
      </c>
      <c r="Q3" s="6">
        <v>0.26</v>
      </c>
      <c r="R3" s="7"/>
      <c r="S3" s="7"/>
      <c r="T3" s="4"/>
      <c r="U3" s="8"/>
      <c r="V3" s="7"/>
    </row>
    <row r="4" spans="1:22" ht="18" customHeight="1">
      <c r="A4" s="5" t="s">
        <v>19</v>
      </c>
      <c r="B4" s="6">
        <v>0.53</v>
      </c>
      <c r="C4" s="6">
        <v>0.57999999999999996</v>
      </c>
      <c r="D4" s="6">
        <v>0.35</v>
      </c>
      <c r="E4" s="6">
        <v>0.55000000000000004</v>
      </c>
      <c r="F4" s="6">
        <v>0.28000000000000003</v>
      </c>
      <c r="G4" s="6">
        <v>0.66</v>
      </c>
      <c r="H4" s="6">
        <v>0.57999999999999996</v>
      </c>
      <c r="I4" s="6">
        <v>0.51</v>
      </c>
      <c r="J4" s="6">
        <v>0.52</v>
      </c>
      <c r="K4" s="6">
        <v>0.56999999999999995</v>
      </c>
      <c r="L4" s="6">
        <v>0.45</v>
      </c>
      <c r="M4" s="6">
        <v>0.34</v>
      </c>
      <c r="N4" s="6">
        <v>0.41</v>
      </c>
      <c r="O4" s="6">
        <v>0.54</v>
      </c>
      <c r="P4" s="6">
        <v>0.39</v>
      </c>
      <c r="Q4" s="6">
        <v>0.43</v>
      </c>
      <c r="R4" s="9"/>
      <c r="S4" s="9"/>
      <c r="T4" s="9"/>
      <c r="U4" s="9"/>
      <c r="V4" s="9"/>
    </row>
    <row r="5" spans="1:22" ht="18" customHeight="1">
      <c r="A5" s="5" t="s">
        <v>20</v>
      </c>
      <c r="B5" s="6">
        <v>0.68</v>
      </c>
      <c r="C5" s="6">
        <v>0.64</v>
      </c>
      <c r="D5" s="6">
        <v>0.36</v>
      </c>
      <c r="E5" s="6">
        <v>0.77</v>
      </c>
      <c r="F5" s="6">
        <v>0.43</v>
      </c>
      <c r="G5" s="6">
        <v>0.62</v>
      </c>
      <c r="H5" s="6">
        <v>0.65</v>
      </c>
      <c r="I5" s="6">
        <v>0.61</v>
      </c>
      <c r="J5" s="6">
        <v>0.65</v>
      </c>
      <c r="K5" s="6">
        <v>0.52</v>
      </c>
      <c r="L5" s="6">
        <v>0.53</v>
      </c>
      <c r="M5" s="6">
        <v>0.4</v>
      </c>
      <c r="N5" s="6">
        <v>0.64</v>
      </c>
      <c r="O5" s="6">
        <v>0.71</v>
      </c>
      <c r="P5" s="6">
        <v>0.6</v>
      </c>
      <c r="Q5" s="6">
        <v>0.64</v>
      </c>
      <c r="R5" s="9"/>
      <c r="S5" s="9"/>
      <c r="T5" s="9"/>
      <c r="U5" s="8"/>
      <c r="V5" s="9"/>
    </row>
    <row r="6" spans="1:22" ht="18" customHeight="1">
      <c r="A6" s="5" t="s">
        <v>21</v>
      </c>
      <c r="B6" s="10">
        <v>0.98</v>
      </c>
      <c r="C6" s="6">
        <v>0.63</v>
      </c>
      <c r="D6" s="6">
        <v>0.6</v>
      </c>
      <c r="E6" s="6">
        <v>0.78</v>
      </c>
      <c r="F6" s="6">
        <v>0.78</v>
      </c>
      <c r="G6" s="6">
        <v>0.63</v>
      </c>
      <c r="H6" s="6">
        <v>0.9</v>
      </c>
      <c r="I6" s="6">
        <v>0.63</v>
      </c>
      <c r="J6" s="6">
        <v>0.94</v>
      </c>
      <c r="K6" s="6">
        <v>0.41</v>
      </c>
      <c r="L6" s="6">
        <v>0.98</v>
      </c>
      <c r="M6" s="6">
        <v>0.28000000000000003</v>
      </c>
      <c r="N6" s="6">
        <v>0.34</v>
      </c>
      <c r="O6" s="6">
        <v>0.84</v>
      </c>
      <c r="P6" s="6">
        <v>0.5</v>
      </c>
      <c r="Q6" s="6">
        <v>0.72</v>
      </c>
      <c r="R6" s="9"/>
      <c r="S6" s="9"/>
      <c r="T6" s="9"/>
      <c r="U6" s="8"/>
      <c r="V6" s="9"/>
    </row>
    <row r="7" spans="1:22" ht="18" customHeight="1">
      <c r="A7" s="11"/>
      <c r="B7" s="2" t="s">
        <v>22</v>
      </c>
      <c r="C7" s="2" t="s">
        <v>23</v>
      </c>
      <c r="D7" s="2" t="s">
        <v>24</v>
      </c>
      <c r="E7" s="2" t="s">
        <v>25</v>
      </c>
      <c r="F7" s="12" t="s">
        <v>26</v>
      </c>
      <c r="G7" s="13" t="s">
        <v>27</v>
      </c>
      <c r="H7" s="13" t="s">
        <v>28</v>
      </c>
      <c r="I7" s="13" t="s">
        <v>29</v>
      </c>
      <c r="J7" s="13" t="s">
        <v>30</v>
      </c>
      <c r="K7" s="13" t="s">
        <v>31</v>
      </c>
      <c r="L7" s="13" t="s">
        <v>32</v>
      </c>
      <c r="M7" s="13" t="s">
        <v>33</v>
      </c>
      <c r="N7" s="13" t="s">
        <v>34</v>
      </c>
      <c r="O7" s="13" t="s">
        <v>35</v>
      </c>
      <c r="P7" s="13" t="s">
        <v>36</v>
      </c>
      <c r="Q7" s="14" t="s">
        <v>37</v>
      </c>
      <c r="R7" s="9"/>
      <c r="S7" s="9"/>
      <c r="T7" s="9"/>
      <c r="U7" s="8"/>
      <c r="V7" s="9"/>
    </row>
    <row r="8" spans="1:22" ht="18" customHeight="1">
      <c r="A8" s="5" t="s">
        <v>17</v>
      </c>
      <c r="B8" s="6">
        <v>0.13</v>
      </c>
      <c r="C8" s="6">
        <v>0.18</v>
      </c>
      <c r="D8" s="6">
        <v>0.13</v>
      </c>
      <c r="E8" s="6">
        <v>0.4</v>
      </c>
      <c r="F8" s="10">
        <v>0.26</v>
      </c>
      <c r="G8" s="6">
        <v>0.18</v>
      </c>
      <c r="H8" s="6">
        <v>0.35</v>
      </c>
      <c r="I8" s="6">
        <v>0.38</v>
      </c>
      <c r="J8" s="6">
        <v>0.28000000000000003</v>
      </c>
      <c r="K8" s="6">
        <v>0.05</v>
      </c>
      <c r="L8" s="6">
        <v>0.21</v>
      </c>
      <c r="M8" s="6">
        <v>0.17</v>
      </c>
      <c r="N8" s="6">
        <v>0.2</v>
      </c>
      <c r="O8" s="6">
        <v>0.15</v>
      </c>
      <c r="P8" s="6">
        <v>0.15</v>
      </c>
      <c r="Q8" s="10">
        <v>0.21</v>
      </c>
      <c r="R8" s="4"/>
      <c r="S8" s="7"/>
      <c r="T8" s="8"/>
      <c r="U8" s="8"/>
      <c r="V8" s="7"/>
    </row>
    <row r="9" spans="1:22" ht="18" customHeight="1">
      <c r="A9" s="5" t="s">
        <v>18</v>
      </c>
      <c r="B9" s="6">
        <v>0.17</v>
      </c>
      <c r="C9" s="6">
        <v>0.53</v>
      </c>
      <c r="D9" s="6">
        <v>0.28999999999999998</v>
      </c>
      <c r="E9" s="6">
        <v>0.42</v>
      </c>
      <c r="F9" s="10">
        <v>0.37</v>
      </c>
      <c r="G9" s="6">
        <v>0.23</v>
      </c>
      <c r="H9" s="6">
        <v>0.1</v>
      </c>
      <c r="I9" s="6">
        <v>0.6</v>
      </c>
      <c r="J9" s="6">
        <v>0.39</v>
      </c>
      <c r="K9" s="6">
        <v>0.27</v>
      </c>
      <c r="L9" s="6">
        <v>0.42</v>
      </c>
      <c r="M9" s="6">
        <v>0.28000000000000003</v>
      </c>
      <c r="N9" s="6">
        <v>0.51</v>
      </c>
      <c r="O9" s="6">
        <v>0.13</v>
      </c>
      <c r="P9" s="6">
        <v>0.23</v>
      </c>
      <c r="Q9" s="10">
        <v>0.32</v>
      </c>
      <c r="R9" s="9"/>
      <c r="S9" s="9"/>
      <c r="T9" s="9"/>
      <c r="U9" s="9"/>
      <c r="V9" s="9"/>
    </row>
    <row r="10" spans="1:22" ht="18" customHeight="1">
      <c r="A10" s="5" t="s">
        <v>19</v>
      </c>
      <c r="B10" s="6">
        <v>0.27</v>
      </c>
      <c r="C10" s="6">
        <v>0.65</v>
      </c>
      <c r="D10" s="6">
        <v>0.2</v>
      </c>
      <c r="E10" s="6">
        <v>0.33</v>
      </c>
      <c r="F10" s="10">
        <v>0.46</v>
      </c>
      <c r="G10" s="6">
        <v>0.45</v>
      </c>
      <c r="H10" s="6">
        <v>0.17</v>
      </c>
      <c r="I10" s="6">
        <v>0.8</v>
      </c>
      <c r="J10" s="6">
        <v>0.53</v>
      </c>
      <c r="K10" s="6">
        <v>0.15</v>
      </c>
      <c r="L10" s="6">
        <v>0.69</v>
      </c>
      <c r="M10" s="6">
        <v>0.41</v>
      </c>
      <c r="N10" s="6">
        <v>0.31</v>
      </c>
      <c r="O10" s="6">
        <v>0.3</v>
      </c>
      <c r="P10" s="6">
        <v>0.31</v>
      </c>
      <c r="Q10" s="10">
        <v>0.41</v>
      </c>
      <c r="R10" s="9"/>
      <c r="S10" s="9"/>
      <c r="T10" s="9"/>
      <c r="U10" s="9"/>
      <c r="V10" s="9"/>
    </row>
    <row r="11" spans="1:22" ht="18" customHeight="1">
      <c r="A11" s="5" t="s">
        <v>20</v>
      </c>
      <c r="B11" s="6">
        <v>0.41</v>
      </c>
      <c r="C11" s="6">
        <v>0.75</v>
      </c>
      <c r="D11" s="6">
        <v>0.44</v>
      </c>
      <c r="E11" s="6">
        <v>0.67</v>
      </c>
      <c r="F11" s="10">
        <v>0.59</v>
      </c>
      <c r="G11" s="6">
        <v>0.38</v>
      </c>
      <c r="H11" s="6">
        <v>0.22</v>
      </c>
      <c r="I11" s="6">
        <v>0.81</v>
      </c>
      <c r="J11" s="6">
        <v>0.86</v>
      </c>
      <c r="K11" s="6">
        <v>0.38</v>
      </c>
      <c r="L11" s="6">
        <v>0.85</v>
      </c>
      <c r="M11" s="6">
        <v>0.42</v>
      </c>
      <c r="N11" s="6">
        <v>0.83</v>
      </c>
      <c r="O11" s="6">
        <v>0.26</v>
      </c>
      <c r="P11" s="6">
        <v>0.38</v>
      </c>
      <c r="Q11" s="10">
        <v>0.54</v>
      </c>
      <c r="R11" s="9"/>
      <c r="S11" s="9"/>
      <c r="T11" s="8"/>
      <c r="U11" s="9"/>
      <c r="V11" s="9"/>
    </row>
    <row r="12" spans="1:22" ht="18" customHeight="1">
      <c r="A12" s="5" t="s">
        <v>21</v>
      </c>
      <c r="B12" s="6">
        <v>0.9</v>
      </c>
      <c r="C12" s="6">
        <v>0.86</v>
      </c>
      <c r="D12" s="6">
        <v>0.35</v>
      </c>
      <c r="E12" s="6">
        <v>0.98</v>
      </c>
      <c r="F12" s="10">
        <v>0.7</v>
      </c>
      <c r="G12" s="6">
        <v>0.71</v>
      </c>
      <c r="H12" s="6">
        <v>0.31</v>
      </c>
      <c r="I12" s="6">
        <v>0.73</v>
      </c>
      <c r="J12" s="6">
        <v>0.75</v>
      </c>
      <c r="K12" s="6">
        <v>0.84</v>
      </c>
      <c r="L12" s="6">
        <v>0.3</v>
      </c>
      <c r="M12" s="6">
        <v>0.92</v>
      </c>
      <c r="N12" s="6">
        <v>0.92</v>
      </c>
      <c r="O12" s="6">
        <v>0.56999999999999995</v>
      </c>
      <c r="P12" s="6">
        <v>0.33</v>
      </c>
      <c r="Q12" s="10">
        <v>0.64</v>
      </c>
      <c r="R12" s="9"/>
      <c r="S12" s="9"/>
      <c r="T12" s="8"/>
      <c r="U12" s="9"/>
      <c r="V12" s="9"/>
    </row>
    <row r="13" spans="1:22" ht="18" customHeight="1">
      <c r="A13" s="8"/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7"/>
      <c r="T13" s="8"/>
      <c r="U13" s="8"/>
      <c r="V13" s="8"/>
    </row>
    <row r="14" spans="1:22" ht="18" customHeight="1">
      <c r="A14" s="4"/>
      <c r="B14" s="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8"/>
      <c r="Q14" s="9"/>
      <c r="R14" s="9"/>
      <c r="S14" s="9"/>
      <c r="T14" s="9"/>
      <c r="U14" s="9"/>
      <c r="V14" s="9"/>
    </row>
    <row r="15" spans="1:22" ht="18" customHeight="1">
      <c r="A15" s="4"/>
      <c r="B15" s="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8"/>
      <c r="Q15" s="9"/>
      <c r="R15" s="9"/>
      <c r="S15" s="9"/>
      <c r="T15" s="9"/>
      <c r="U15" s="9"/>
      <c r="V15" s="8"/>
    </row>
    <row r="16" spans="1:22" ht="18" customHeight="1">
      <c r="A16" s="4"/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18" customHeight="1">
      <c r="A17" s="4"/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8"/>
      <c r="U17" s="9"/>
      <c r="V17" s="9"/>
    </row>
    <row r="18" spans="1:22" ht="18" customHeight="1">
      <c r="A18" s="4"/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ht="18" customHeight="1">
      <c r="A19" s="4"/>
      <c r="B19" s="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8"/>
      <c r="Q19" s="9"/>
      <c r="R19" s="9"/>
      <c r="S19" s="8"/>
      <c r="T19" s="9"/>
      <c r="U19" s="9"/>
      <c r="V19" s="9"/>
    </row>
    <row r="20" spans="1:22" ht="18" customHeight="1">
      <c r="A20" s="4"/>
      <c r="B20" s="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</sheetData>
  <mergeCells count="1">
    <mergeCell ref="S1:U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VLM"/>
  <dimension ref="A1:X15"/>
  <sheetViews>
    <sheetView workbookViewId="0"/>
  </sheetViews>
  <sheetFormatPr baseColWidth="10" defaultColWidth="13.7109375" defaultRowHeight="18" customHeight="1"/>
  <cols>
    <col min="1" max="1" width="25.28515625" customWidth="1"/>
  </cols>
  <sheetData>
    <row r="1" spans="1:24" ht="18" customHeight="1">
      <c r="A1" s="31" t="s">
        <v>87</v>
      </c>
      <c r="B1" s="31" t="s">
        <v>88</v>
      </c>
      <c r="C1" s="49" t="s">
        <v>89</v>
      </c>
      <c r="D1" s="44"/>
      <c r="E1" s="44"/>
      <c r="F1" s="44"/>
      <c r="G1" s="44"/>
      <c r="H1" s="44"/>
      <c r="I1" s="44"/>
      <c r="J1" s="46"/>
      <c r="K1" s="48" t="s">
        <v>90</v>
      </c>
      <c r="L1" s="44"/>
      <c r="M1" s="44"/>
      <c r="N1" s="44"/>
      <c r="O1" s="44"/>
      <c r="P1" s="44"/>
      <c r="Q1" s="46"/>
      <c r="R1" s="46"/>
      <c r="S1" s="46"/>
      <c r="T1" s="43" t="s">
        <v>91</v>
      </c>
      <c r="U1" s="44"/>
      <c r="V1" s="44"/>
      <c r="W1" s="45"/>
      <c r="X1" s="46"/>
    </row>
    <row r="2" spans="1:24" ht="18" customHeight="1">
      <c r="A2" s="47" t="s">
        <v>87</v>
      </c>
      <c r="B2" s="47" t="s">
        <v>88</v>
      </c>
      <c r="C2" s="32" t="s">
        <v>92</v>
      </c>
      <c r="D2" s="4" t="s">
        <v>93</v>
      </c>
      <c r="E2" s="32" t="s">
        <v>94</v>
      </c>
      <c r="F2" s="32" t="s">
        <v>95</v>
      </c>
      <c r="G2" s="32" t="s">
        <v>96</v>
      </c>
      <c r="H2" s="32" t="s">
        <v>97</v>
      </c>
      <c r="I2" s="32" t="s">
        <v>98</v>
      </c>
      <c r="J2" s="32" t="s">
        <v>43</v>
      </c>
      <c r="K2" s="32" t="s">
        <v>99</v>
      </c>
      <c r="L2" s="32" t="s">
        <v>100</v>
      </c>
      <c r="M2" s="32" t="s">
        <v>101</v>
      </c>
      <c r="N2" s="32" t="s">
        <v>102</v>
      </c>
      <c r="O2" s="32" t="s">
        <v>103</v>
      </c>
      <c r="P2" s="32" t="s">
        <v>104</v>
      </c>
      <c r="Q2" s="32" t="s">
        <v>105</v>
      </c>
      <c r="R2" s="32" t="s">
        <v>106</v>
      </c>
      <c r="S2" s="32" t="s">
        <v>43</v>
      </c>
      <c r="T2" s="32" t="s">
        <v>107</v>
      </c>
      <c r="U2" s="32" t="s">
        <v>108</v>
      </c>
      <c r="V2" s="4" t="s">
        <v>109</v>
      </c>
      <c r="W2" s="32" t="s">
        <v>110</v>
      </c>
      <c r="X2" s="32" t="s">
        <v>43</v>
      </c>
    </row>
    <row r="3" spans="1:24" ht="18" customHeight="1">
      <c r="A3" s="46"/>
      <c r="B3" s="46"/>
      <c r="C3" s="32"/>
      <c r="D3" s="4"/>
      <c r="E3" s="32" t="s">
        <v>111</v>
      </c>
      <c r="F3" s="32" t="s">
        <v>112</v>
      </c>
      <c r="G3" s="32" t="s">
        <v>112</v>
      </c>
      <c r="H3" s="32" t="s">
        <v>113</v>
      </c>
      <c r="I3" s="32"/>
      <c r="J3" s="32" t="s">
        <v>114</v>
      </c>
      <c r="K3" s="32"/>
      <c r="L3" s="32"/>
      <c r="M3" s="32" t="s">
        <v>111</v>
      </c>
      <c r="N3" s="32"/>
      <c r="O3" s="32" t="s">
        <v>112</v>
      </c>
      <c r="P3" s="32" t="s">
        <v>112</v>
      </c>
      <c r="Q3" s="32" t="s">
        <v>115</v>
      </c>
      <c r="R3" s="32" t="s">
        <v>112</v>
      </c>
      <c r="S3" s="32" t="s">
        <v>116</v>
      </c>
      <c r="T3" s="32" t="s">
        <v>112</v>
      </c>
      <c r="U3" s="32"/>
      <c r="V3" s="4" t="s">
        <v>117</v>
      </c>
      <c r="W3" s="32" t="s">
        <v>112</v>
      </c>
      <c r="X3" s="32" t="s">
        <v>118</v>
      </c>
    </row>
    <row r="4" spans="1:24" ht="18" customHeight="1">
      <c r="A4" s="33" t="s">
        <v>119</v>
      </c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2"/>
      <c r="V4" s="33"/>
      <c r="W4" s="34"/>
    </row>
    <row r="5" spans="1:24" ht="18" customHeight="1">
      <c r="A5" s="32" t="s">
        <v>120</v>
      </c>
      <c r="B5" s="32" t="s">
        <v>121</v>
      </c>
      <c r="C5" s="35">
        <v>55.7</v>
      </c>
      <c r="D5" s="35">
        <v>65.8</v>
      </c>
      <c r="E5" s="35">
        <v>84.6</v>
      </c>
      <c r="F5" s="35">
        <v>78.7</v>
      </c>
      <c r="G5" s="35">
        <v>76.7</v>
      </c>
      <c r="H5" s="35">
        <v>85.5</v>
      </c>
      <c r="I5" s="35">
        <v>59.9</v>
      </c>
      <c r="J5" s="35">
        <f>AVERAGE(C5:I5)</f>
        <v>72.414285714285711</v>
      </c>
      <c r="K5" s="35">
        <v>21.7</v>
      </c>
      <c r="L5" s="35">
        <v>49.6</v>
      </c>
      <c r="M5" s="35">
        <v>36.5</v>
      </c>
      <c r="N5" s="35">
        <v>25.5</v>
      </c>
      <c r="O5" s="35">
        <v>38.4</v>
      </c>
      <c r="P5" s="35">
        <v>23.4</v>
      </c>
      <c r="Q5" s="35">
        <v>23.2</v>
      </c>
      <c r="R5" s="35">
        <v>12.7</v>
      </c>
      <c r="S5" s="35">
        <f>AVERAGE(K5:R5)</f>
        <v>28.875</v>
      </c>
      <c r="T5" s="35">
        <v>33.9</v>
      </c>
      <c r="U5" s="35">
        <v>42.9</v>
      </c>
      <c r="V5" s="33">
        <v>62.8</v>
      </c>
      <c r="W5" s="35">
        <v>46.4</v>
      </c>
      <c r="X5" s="35">
        <f>AVERAGE(T5:V5)</f>
        <v>46.533333333333331</v>
      </c>
    </row>
    <row r="6" spans="1:24" ht="18" customHeight="1">
      <c r="A6" s="32" t="s">
        <v>122</v>
      </c>
      <c r="B6" s="32" t="s">
        <v>123</v>
      </c>
      <c r="C6" s="35">
        <v>54.5</v>
      </c>
      <c r="D6" s="35">
        <v>64.400000000000006</v>
      </c>
      <c r="E6" s="35">
        <v>84.5</v>
      </c>
      <c r="F6" s="35">
        <v>78.3</v>
      </c>
      <c r="G6" s="35">
        <v>83.3</v>
      </c>
      <c r="H6" s="35">
        <v>75</v>
      </c>
      <c r="I6" s="35">
        <v>54.1</v>
      </c>
      <c r="J6" s="35">
        <f>AVERAGE(C6:I6)</f>
        <v>70.585714285714289</v>
      </c>
      <c r="K6" s="35">
        <v>31.1</v>
      </c>
      <c r="L6" s="35">
        <v>39.700000000000003</v>
      </c>
      <c r="M6" s="35">
        <v>21.6</v>
      </c>
      <c r="N6" s="35">
        <v>16.899999999999999</v>
      </c>
      <c r="O6" s="35">
        <v>44.7</v>
      </c>
      <c r="P6" s="35">
        <v>30</v>
      </c>
      <c r="Q6" s="35">
        <v>23.6</v>
      </c>
      <c r="R6" s="35">
        <v>23.6</v>
      </c>
      <c r="S6" s="35">
        <f>AVERAGE(K6:R6)</f>
        <v>28.9</v>
      </c>
      <c r="T6" s="35">
        <v>33.1</v>
      </c>
      <c r="U6" s="35">
        <v>36.869999999999997</v>
      </c>
      <c r="V6" s="33">
        <v>56.2</v>
      </c>
      <c r="W6" s="35">
        <v>68.95</v>
      </c>
      <c r="X6" s="35">
        <f>AVERAGE(T6:V6)</f>
        <v>42.056666666666665</v>
      </c>
    </row>
    <row r="7" spans="1:24" ht="18" customHeight="1">
      <c r="A7" s="32" t="s">
        <v>124</v>
      </c>
      <c r="B7" s="32" t="s">
        <v>121</v>
      </c>
      <c r="C7" s="35">
        <v>48.5</v>
      </c>
      <c r="D7" s="35">
        <v>50.5</v>
      </c>
      <c r="E7" s="35">
        <v>83.6</v>
      </c>
      <c r="F7" s="35">
        <v>73.400000000000006</v>
      </c>
      <c r="G7" s="35">
        <v>62.67</v>
      </c>
      <c r="H7" s="35">
        <v>85.9</v>
      </c>
      <c r="I7" s="35">
        <v>40.07</v>
      </c>
      <c r="J7" s="35">
        <f>AVERAGE(C7:I7)</f>
        <v>63.52</v>
      </c>
      <c r="K7" s="35">
        <v>41.6</v>
      </c>
      <c r="L7" s="35">
        <v>48.33</v>
      </c>
      <c r="M7" s="35">
        <v>39.71</v>
      </c>
      <c r="N7" s="35">
        <v>27</v>
      </c>
      <c r="O7" s="35">
        <v>80</v>
      </c>
      <c r="P7" s="35">
        <v>57.6</v>
      </c>
      <c r="Q7" s="35">
        <v>54</v>
      </c>
      <c r="R7" s="35">
        <v>52.5</v>
      </c>
      <c r="S7" s="35">
        <f>AVERAGE(K7:R7)</f>
        <v>50.092500000000001</v>
      </c>
      <c r="T7" s="35">
        <v>32.6</v>
      </c>
      <c r="U7" s="35">
        <v>32.020000000000003</v>
      </c>
      <c r="V7" s="33">
        <v>53.7</v>
      </c>
      <c r="W7" s="35">
        <v>46.96</v>
      </c>
      <c r="X7" s="35">
        <f>AVERAGE(T7:V7)</f>
        <v>39.440000000000005</v>
      </c>
    </row>
    <row r="8" spans="1:24" ht="18" customHeight="1">
      <c r="A8" s="32" t="s">
        <v>125</v>
      </c>
      <c r="B8" s="32" t="s">
        <v>126</v>
      </c>
      <c r="C8" s="35">
        <v>41.8</v>
      </c>
      <c r="D8" s="35">
        <v>68.400000000000006</v>
      </c>
      <c r="E8" s="35">
        <v>86.3</v>
      </c>
      <c r="F8" s="35">
        <v>78.5</v>
      </c>
      <c r="G8" s="35">
        <v>65.3</v>
      </c>
      <c r="H8" s="35">
        <v>84.7</v>
      </c>
      <c r="I8" s="35">
        <v>67.400000000000006</v>
      </c>
      <c r="J8" s="35">
        <f>AVERAGE(C8:I8)</f>
        <v>70.342857142857142</v>
      </c>
      <c r="K8" s="35">
        <v>42.3</v>
      </c>
      <c r="L8" s="35">
        <v>64</v>
      </c>
      <c r="M8" s="35">
        <v>42.2</v>
      </c>
      <c r="N8" s="35">
        <v>48.7</v>
      </c>
      <c r="O8" s="35">
        <v>83.6</v>
      </c>
      <c r="P8" s="35">
        <v>69.900000000000006</v>
      </c>
      <c r="Q8" s="35">
        <v>56.8</v>
      </c>
      <c r="R8" s="35">
        <v>59.9</v>
      </c>
      <c r="S8" s="35">
        <f>AVERAGE(K8:R8)</f>
        <v>58.42499999999999</v>
      </c>
      <c r="T8" s="35">
        <v>55</v>
      </c>
      <c r="U8" s="35">
        <v>32.299999999999997</v>
      </c>
      <c r="V8" s="35">
        <v>64</v>
      </c>
      <c r="W8" s="35">
        <v>65.400000000000006</v>
      </c>
      <c r="X8" s="35">
        <f>AVERAGE(T8:V8)</f>
        <v>50.433333333333337</v>
      </c>
    </row>
    <row r="9" spans="1:24" ht="18" customHeight="1">
      <c r="A9" s="33" t="s">
        <v>127</v>
      </c>
      <c r="B9" s="33"/>
      <c r="C9" s="32"/>
      <c r="D9" s="32"/>
      <c r="E9" s="32"/>
      <c r="F9" s="32"/>
      <c r="G9" s="32"/>
      <c r="H9" s="32"/>
      <c r="I9" s="32"/>
      <c r="J9" s="35"/>
      <c r="K9" s="32"/>
      <c r="L9" s="32"/>
      <c r="M9" s="32"/>
      <c r="N9" s="32"/>
      <c r="O9" s="32"/>
      <c r="P9" s="32"/>
      <c r="Q9" s="32"/>
      <c r="R9" s="32"/>
      <c r="S9" s="35"/>
      <c r="T9" s="34"/>
      <c r="U9" s="33"/>
      <c r="V9" s="33"/>
      <c r="W9" s="33"/>
      <c r="X9" s="35"/>
    </row>
    <row r="10" spans="1:24" ht="18" customHeight="1">
      <c r="A10" s="32" t="s">
        <v>128</v>
      </c>
      <c r="B10" s="32" t="s">
        <v>129</v>
      </c>
      <c r="C10" s="35">
        <v>38.5</v>
      </c>
      <c r="D10" s="35">
        <v>24.15</v>
      </c>
      <c r="E10" s="35">
        <v>85.75</v>
      </c>
      <c r="F10" s="35">
        <v>76.319999999999993</v>
      </c>
      <c r="G10" s="35">
        <v>75.3</v>
      </c>
      <c r="H10" s="35">
        <v>79</v>
      </c>
      <c r="I10" s="35">
        <v>54.23</v>
      </c>
      <c r="J10" s="35">
        <f t="shared" ref="J10:J15" si="0">AVERAGE(C10:I10)</f>
        <v>61.892857142857146</v>
      </c>
      <c r="K10" s="35">
        <v>41</v>
      </c>
      <c r="L10" s="35">
        <v>63.6</v>
      </c>
      <c r="M10" s="35">
        <v>32.5</v>
      </c>
      <c r="N10" s="35">
        <v>45.6</v>
      </c>
      <c r="O10" s="35">
        <v>70.400000000000006</v>
      </c>
      <c r="P10" s="35">
        <v>51.5</v>
      </c>
      <c r="Q10" s="35">
        <v>54</v>
      </c>
      <c r="R10" s="35">
        <v>54.7</v>
      </c>
      <c r="S10" s="35">
        <f t="shared" ref="S10:S15" si="1">AVERAGE(K10:R10)</f>
        <v>51.662500000000001</v>
      </c>
      <c r="T10" s="35">
        <v>57.5</v>
      </c>
      <c r="U10" s="35">
        <v>33.200000000000003</v>
      </c>
      <c r="V10" s="35">
        <v>33.799999999999997</v>
      </c>
      <c r="W10" s="35">
        <v>54.19</v>
      </c>
      <c r="X10" s="35">
        <f t="shared" ref="X10:X15" si="2">AVERAGE(T10:V10)</f>
        <v>41.5</v>
      </c>
    </row>
    <row r="11" spans="1:24" ht="18" customHeight="1">
      <c r="A11" s="32" t="s">
        <v>130</v>
      </c>
      <c r="B11" s="32" t="s">
        <v>131</v>
      </c>
      <c r="C11" s="35">
        <v>46.75</v>
      </c>
      <c r="D11" s="35">
        <v>53.6</v>
      </c>
      <c r="E11" s="35">
        <v>88.82</v>
      </c>
      <c r="F11" s="35">
        <v>76.239999999999995</v>
      </c>
      <c r="G11" s="35">
        <v>54.6</v>
      </c>
      <c r="H11" s="35">
        <v>94.4</v>
      </c>
      <c r="I11" s="35">
        <v>61.76</v>
      </c>
      <c r="J11" s="35">
        <f t="shared" si="0"/>
        <v>68.02428571428571</v>
      </c>
      <c r="K11" s="35">
        <v>46.9</v>
      </c>
      <c r="L11" s="35">
        <v>63.6</v>
      </c>
      <c r="M11" s="35">
        <v>48</v>
      </c>
      <c r="N11" s="35">
        <v>65.5</v>
      </c>
      <c r="O11" s="35">
        <v>82.3</v>
      </c>
      <c r="P11" s="35">
        <v>69.8</v>
      </c>
      <c r="Q11" s="35">
        <v>27.5</v>
      </c>
      <c r="R11" s="35">
        <v>42.35</v>
      </c>
      <c r="S11" s="35">
        <f t="shared" si="1"/>
        <v>55.743750000000006</v>
      </c>
      <c r="T11" s="35">
        <v>61.99</v>
      </c>
      <c r="U11" s="35">
        <v>43</v>
      </c>
      <c r="V11" s="35">
        <v>56.8</v>
      </c>
      <c r="W11" s="35">
        <v>54.55</v>
      </c>
      <c r="X11" s="35">
        <f t="shared" si="2"/>
        <v>53.930000000000007</v>
      </c>
    </row>
    <row r="12" spans="1:24" ht="18" customHeight="1">
      <c r="A12" s="32" t="s">
        <v>132</v>
      </c>
      <c r="B12" s="32" t="s">
        <v>133</v>
      </c>
      <c r="C12" s="35">
        <v>39.799999999999997</v>
      </c>
      <c r="D12" s="35">
        <v>54.7</v>
      </c>
      <c r="E12" s="35">
        <v>78.900000000000006</v>
      </c>
      <c r="F12" s="35">
        <v>73.2</v>
      </c>
      <c r="G12" s="35">
        <v>54.6</v>
      </c>
      <c r="H12" s="35">
        <v>78.2</v>
      </c>
      <c r="I12" s="35">
        <v>57.5</v>
      </c>
      <c r="J12" s="35">
        <f t="shared" si="0"/>
        <v>62.414285714285718</v>
      </c>
      <c r="K12" s="35">
        <v>14.5</v>
      </c>
      <c r="L12" s="35">
        <v>57.8</v>
      </c>
      <c r="M12" s="35">
        <v>37.5</v>
      </c>
      <c r="N12" s="35">
        <v>28.8</v>
      </c>
      <c r="O12" s="35">
        <v>74.900000000000006</v>
      </c>
      <c r="P12" s="35">
        <v>63.4</v>
      </c>
      <c r="Q12" s="35">
        <v>32.9</v>
      </c>
      <c r="R12" s="35">
        <v>26.1</v>
      </c>
      <c r="S12" s="35">
        <f t="shared" si="1"/>
        <v>41.987499999999997</v>
      </c>
      <c r="T12" s="35">
        <v>58.5</v>
      </c>
      <c r="U12" s="33">
        <v>32</v>
      </c>
      <c r="V12" s="35">
        <v>62.6</v>
      </c>
      <c r="W12" s="35">
        <v>60.18</v>
      </c>
      <c r="X12" s="35">
        <f t="shared" si="2"/>
        <v>51.033333333333331</v>
      </c>
    </row>
    <row r="13" spans="1:24" ht="18" customHeight="1">
      <c r="A13" s="32" t="s">
        <v>134</v>
      </c>
      <c r="B13" s="32" t="s">
        <v>135</v>
      </c>
      <c r="C13" s="35">
        <v>35.24</v>
      </c>
      <c r="D13" s="35">
        <v>34.51</v>
      </c>
      <c r="E13" s="35">
        <v>82.7</v>
      </c>
      <c r="F13" s="35">
        <v>67.400000000000006</v>
      </c>
      <c r="G13" s="35">
        <v>76.3</v>
      </c>
      <c r="H13" s="35">
        <v>76.599999999999994</v>
      </c>
      <c r="I13" s="35">
        <v>47.43</v>
      </c>
      <c r="J13" s="35">
        <f t="shared" si="0"/>
        <v>60.025714285714287</v>
      </c>
      <c r="K13" s="35">
        <v>66</v>
      </c>
      <c r="L13" s="35">
        <v>69.5</v>
      </c>
      <c r="M13" s="35">
        <v>39.700000000000003</v>
      </c>
      <c r="N13" s="35">
        <v>56.6</v>
      </c>
      <c r="O13" s="35">
        <v>85.6</v>
      </c>
      <c r="P13" s="35">
        <v>67.2</v>
      </c>
      <c r="Q13" s="35">
        <v>44.4</v>
      </c>
      <c r="R13" s="35">
        <v>49.4</v>
      </c>
      <c r="S13" s="35">
        <f t="shared" si="1"/>
        <v>59.79999999999999</v>
      </c>
      <c r="T13" s="33">
        <v>51.8</v>
      </c>
      <c r="U13" s="35">
        <v>26.5</v>
      </c>
      <c r="V13" s="35">
        <v>55.2</v>
      </c>
      <c r="W13" s="35">
        <v>40.200000000000003</v>
      </c>
      <c r="X13" s="35">
        <f t="shared" si="2"/>
        <v>44.5</v>
      </c>
    </row>
    <row r="14" spans="1:24" ht="18" customHeight="1">
      <c r="A14" s="4" t="s">
        <v>136</v>
      </c>
      <c r="B14" s="4" t="s">
        <v>135</v>
      </c>
      <c r="C14" s="8">
        <v>42.3</v>
      </c>
      <c r="D14" s="8">
        <v>63</v>
      </c>
      <c r="E14" s="8">
        <v>86.5</v>
      </c>
      <c r="F14" s="8">
        <v>78.900000000000006</v>
      </c>
      <c r="G14" s="8">
        <v>76.7</v>
      </c>
      <c r="H14" s="8">
        <v>83.1</v>
      </c>
      <c r="I14" s="8">
        <v>68.3</v>
      </c>
      <c r="J14" s="36">
        <f t="shared" si="0"/>
        <v>71.257142857142853</v>
      </c>
      <c r="K14" s="8">
        <v>62.3</v>
      </c>
      <c r="L14" s="8">
        <v>75</v>
      </c>
      <c r="M14" s="8">
        <v>46.6</v>
      </c>
      <c r="N14" s="8">
        <v>77.400000000000006</v>
      </c>
      <c r="O14" s="8">
        <v>87</v>
      </c>
      <c r="P14" s="8">
        <v>79.5</v>
      </c>
      <c r="Q14" s="8">
        <v>57.8</v>
      </c>
      <c r="R14" s="8">
        <v>63.5</v>
      </c>
      <c r="S14" s="37">
        <f t="shared" si="1"/>
        <v>68.637500000000003</v>
      </c>
      <c r="T14" s="8">
        <v>61.6</v>
      </c>
      <c r="U14" s="8">
        <v>49.9</v>
      </c>
      <c r="V14" s="8">
        <v>62.2</v>
      </c>
      <c r="W14" s="38">
        <v>76.8</v>
      </c>
      <c r="X14" s="35">
        <f t="shared" si="2"/>
        <v>57.9</v>
      </c>
    </row>
    <row r="15" spans="1:24" ht="18" customHeight="1">
      <c r="A15" s="4" t="s">
        <v>137</v>
      </c>
      <c r="B15" s="4" t="s">
        <v>135</v>
      </c>
      <c r="C15" s="8">
        <v>51.3</v>
      </c>
      <c r="D15" s="8">
        <v>63</v>
      </c>
      <c r="E15" s="8">
        <v>88.8</v>
      </c>
      <c r="F15" s="8">
        <v>80.2</v>
      </c>
      <c r="G15" s="8">
        <v>76.7</v>
      </c>
      <c r="H15" s="38">
        <v>92.7</v>
      </c>
      <c r="I15" s="8">
        <v>69.099999999999994</v>
      </c>
      <c r="J15" s="35">
        <f t="shared" si="0"/>
        <v>74.54285714285713</v>
      </c>
      <c r="K15" s="8">
        <v>70.7</v>
      </c>
      <c r="L15" s="8">
        <v>71</v>
      </c>
      <c r="M15" s="8">
        <v>49.5</v>
      </c>
      <c r="N15" s="8">
        <v>80.8</v>
      </c>
      <c r="O15" s="8">
        <v>87.5</v>
      </c>
      <c r="P15" s="8">
        <v>79.599999999999994</v>
      </c>
      <c r="Q15" s="8">
        <v>63.8</v>
      </c>
      <c r="R15" s="8">
        <v>62.5</v>
      </c>
      <c r="S15" s="37">
        <f t="shared" si="1"/>
        <v>70.675000000000011</v>
      </c>
      <c r="T15" s="8">
        <v>60.1</v>
      </c>
      <c r="U15" s="8">
        <v>53.7</v>
      </c>
      <c r="V15" s="8">
        <v>64.900000000000006</v>
      </c>
      <c r="W15" s="38">
        <v>76.8</v>
      </c>
      <c r="X15" s="35">
        <f t="shared" si="2"/>
        <v>59.56666666666667</v>
      </c>
    </row>
  </sheetData>
  <mergeCells count="5">
    <mergeCell ref="T1:X1"/>
    <mergeCell ref="A2:A3"/>
    <mergeCell ref="B2:B3"/>
    <mergeCell ref="K1:S1"/>
    <mergeCell ref="C1:J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VLA"/>
  <dimension ref="A1:G46"/>
  <sheetViews>
    <sheetView tabSelected="1" topLeftCell="A15" workbookViewId="0">
      <selection activeCell="A36" sqref="A36"/>
    </sheetView>
  </sheetViews>
  <sheetFormatPr baseColWidth="10" defaultColWidth="13.7109375" defaultRowHeight="18" customHeight="1"/>
  <cols>
    <col min="1" max="1" width="18" customWidth="1"/>
    <col min="2" max="2" width="14.42578125" customWidth="1"/>
    <col min="10" max="10" width="15.7109375" customWidth="1"/>
    <col min="11" max="11" width="9.42578125" customWidth="1"/>
  </cols>
  <sheetData>
    <row r="1" spans="1:7" ht="18" customHeight="1">
      <c r="A1" s="15" t="s">
        <v>38</v>
      </c>
      <c r="B1" s="16" t="s">
        <v>39</v>
      </c>
      <c r="C1" s="16" t="s">
        <v>40</v>
      </c>
      <c r="D1" s="16" t="s">
        <v>41</v>
      </c>
      <c r="E1" s="16" t="s">
        <v>42</v>
      </c>
      <c r="F1" s="17" t="s">
        <v>43</v>
      </c>
      <c r="G1" s="18"/>
    </row>
    <row r="2" spans="1:7" ht="18" customHeight="1">
      <c r="A2" t="s">
        <v>44</v>
      </c>
      <c r="B2" s="19">
        <v>56.7</v>
      </c>
      <c r="C2" s="19">
        <v>31.7</v>
      </c>
      <c r="D2" s="19">
        <v>59.7</v>
      </c>
      <c r="E2" s="19">
        <v>21.3</v>
      </c>
      <c r="F2" s="19">
        <f t="shared" ref="F2:F9" si="0">AVERAGE(B2:E2)</f>
        <v>42.350000000000009</v>
      </c>
      <c r="G2" s="20"/>
    </row>
    <row r="3" spans="1:7" ht="18" customHeight="1">
      <c r="A3" t="s">
        <v>45</v>
      </c>
      <c r="B3" s="19">
        <v>78.7</v>
      </c>
      <c r="C3" s="19">
        <v>77.900000000000006</v>
      </c>
      <c r="D3" s="19">
        <v>25</v>
      </c>
      <c r="E3" s="19">
        <v>3.7</v>
      </c>
      <c r="F3" s="19">
        <f t="shared" si="0"/>
        <v>46.325000000000003</v>
      </c>
      <c r="G3" s="20"/>
    </row>
    <row r="4" spans="1:7" ht="18" customHeight="1">
      <c r="A4" t="s">
        <v>46</v>
      </c>
      <c r="B4" s="19">
        <v>16.3</v>
      </c>
      <c r="C4" s="19">
        <v>46.2</v>
      </c>
      <c r="D4" s="19">
        <v>35.6</v>
      </c>
      <c r="E4" s="19">
        <v>0</v>
      </c>
      <c r="F4" s="19">
        <f t="shared" si="0"/>
        <v>24.524999999999999</v>
      </c>
      <c r="G4" s="20"/>
    </row>
    <row r="5" spans="1:7" ht="18" customHeight="1">
      <c r="A5" t="s">
        <v>47</v>
      </c>
      <c r="B5" s="19">
        <v>86</v>
      </c>
      <c r="C5" s="19">
        <v>77.900000000000006</v>
      </c>
      <c r="D5" s="19">
        <v>57.4</v>
      </c>
      <c r="E5" s="19">
        <v>0</v>
      </c>
      <c r="F5" s="19">
        <f t="shared" si="0"/>
        <v>55.325000000000003</v>
      </c>
      <c r="G5" s="20"/>
    </row>
    <row r="6" spans="1:7" ht="18" customHeight="1">
      <c r="A6" s="15" t="s">
        <v>48</v>
      </c>
      <c r="B6" s="21">
        <v>97.9</v>
      </c>
      <c r="C6" s="19">
        <v>78.7</v>
      </c>
      <c r="D6" s="19">
        <v>62.25</v>
      </c>
      <c r="E6" s="19">
        <v>46.6</v>
      </c>
      <c r="F6" s="19">
        <f t="shared" si="0"/>
        <v>71.362500000000011</v>
      </c>
      <c r="G6" s="20"/>
    </row>
    <row r="7" spans="1:7" ht="18" customHeight="1">
      <c r="A7" t="s">
        <v>49</v>
      </c>
      <c r="B7" s="19">
        <v>75.3</v>
      </c>
      <c r="C7" s="19">
        <v>67.5</v>
      </c>
      <c r="D7" s="19">
        <v>42.9</v>
      </c>
      <c r="E7" s="19">
        <v>0</v>
      </c>
      <c r="F7" s="19">
        <f t="shared" si="0"/>
        <v>46.425000000000004</v>
      </c>
      <c r="G7" s="20"/>
    </row>
    <row r="8" spans="1:7" ht="18" customHeight="1">
      <c r="A8" t="s">
        <v>50</v>
      </c>
      <c r="B8" s="19">
        <v>51.7</v>
      </c>
      <c r="C8" s="19">
        <v>54</v>
      </c>
      <c r="D8" s="19">
        <v>27.8</v>
      </c>
      <c r="E8" s="19">
        <v>7.4</v>
      </c>
      <c r="F8" s="19">
        <f t="shared" si="0"/>
        <v>35.225000000000001</v>
      </c>
    </row>
    <row r="9" spans="1:7" ht="18" customHeight="1">
      <c r="A9" t="s">
        <v>51</v>
      </c>
      <c r="B9" s="19">
        <v>92.33</v>
      </c>
      <c r="C9" s="21">
        <v>93.75</v>
      </c>
      <c r="D9" s="21">
        <v>86.11</v>
      </c>
      <c r="E9" s="21">
        <v>97.22</v>
      </c>
      <c r="F9" s="22">
        <f t="shared" si="0"/>
        <v>92.352499999999992</v>
      </c>
    </row>
    <row r="11" spans="1:7" ht="18" customHeight="1">
      <c r="A11" s="15" t="s">
        <v>52</v>
      </c>
      <c r="B11" s="16" t="s">
        <v>39</v>
      </c>
      <c r="C11" s="16" t="s">
        <v>40</v>
      </c>
      <c r="D11" s="16" t="s">
        <v>41</v>
      </c>
      <c r="E11" s="16" t="s">
        <v>42</v>
      </c>
      <c r="F11" s="17" t="s">
        <v>43</v>
      </c>
    </row>
    <row r="12" spans="1:7" ht="18" customHeight="1">
      <c r="A12" t="s">
        <v>44</v>
      </c>
      <c r="B12" s="23">
        <v>49</v>
      </c>
      <c r="C12" s="23">
        <v>32.299999999999997</v>
      </c>
      <c r="D12" s="23">
        <v>29.4</v>
      </c>
      <c r="E12" s="23">
        <v>10.1</v>
      </c>
      <c r="F12" s="24">
        <f t="shared" ref="F12:F19" si="1">AVERAGE(B12:E12)</f>
        <v>30.199999999999996</v>
      </c>
    </row>
    <row r="13" spans="1:7" ht="18" customHeight="1">
      <c r="A13" t="s">
        <v>45</v>
      </c>
      <c r="B13" s="23">
        <v>82.3</v>
      </c>
      <c r="C13" s="23">
        <v>79.2</v>
      </c>
      <c r="D13" s="23">
        <v>35.299999999999997</v>
      </c>
      <c r="E13" s="23">
        <v>20.6</v>
      </c>
      <c r="F13" s="24">
        <f t="shared" si="1"/>
        <v>54.35</v>
      </c>
    </row>
    <row r="14" spans="1:7" ht="18" customHeight="1">
      <c r="A14" t="s">
        <v>46</v>
      </c>
      <c r="B14" s="23">
        <v>54.5</v>
      </c>
      <c r="C14" s="23">
        <v>47.7</v>
      </c>
      <c r="D14" s="23">
        <v>17.7</v>
      </c>
      <c r="E14" s="23">
        <v>0</v>
      </c>
      <c r="F14" s="24">
        <f t="shared" si="1"/>
        <v>29.975000000000001</v>
      </c>
    </row>
    <row r="15" spans="1:7" ht="18" customHeight="1">
      <c r="A15" t="s">
        <v>47</v>
      </c>
      <c r="B15" s="23">
        <v>88</v>
      </c>
      <c r="C15" s="23">
        <v>72.7</v>
      </c>
      <c r="D15" s="23">
        <v>41.8</v>
      </c>
      <c r="E15" s="23">
        <v>6.3</v>
      </c>
      <c r="F15" s="24">
        <f t="shared" si="1"/>
        <v>52.2</v>
      </c>
    </row>
    <row r="16" spans="1:7" ht="18" customHeight="1">
      <c r="A16" s="15" t="s">
        <v>48</v>
      </c>
      <c r="B16" s="25">
        <v>90.1</v>
      </c>
      <c r="C16" s="25">
        <v>80.7</v>
      </c>
      <c r="D16" s="23">
        <v>27.6</v>
      </c>
      <c r="E16" s="23">
        <v>20.5</v>
      </c>
      <c r="F16" s="24">
        <f t="shared" si="1"/>
        <v>54.725000000000001</v>
      </c>
    </row>
    <row r="17" spans="1:7" ht="18" customHeight="1">
      <c r="A17" t="s">
        <v>49</v>
      </c>
      <c r="B17" s="23">
        <v>77.599999999999994</v>
      </c>
      <c r="C17" s="23">
        <v>68.2</v>
      </c>
      <c r="D17" s="23">
        <v>31.3</v>
      </c>
      <c r="E17" s="23">
        <v>0</v>
      </c>
      <c r="F17" s="24">
        <f t="shared" si="1"/>
        <v>44.275000000000006</v>
      </c>
    </row>
    <row r="18" spans="1:7" ht="18" customHeight="1">
      <c r="A18" t="s">
        <v>50</v>
      </c>
      <c r="B18" s="23">
        <v>69.3</v>
      </c>
      <c r="C18" s="23">
        <v>68.7</v>
      </c>
      <c r="D18" s="23">
        <v>35.799999999999997</v>
      </c>
      <c r="E18" s="23">
        <v>4</v>
      </c>
      <c r="F18" s="24">
        <f t="shared" si="1"/>
        <v>44.45</v>
      </c>
    </row>
    <row r="19" spans="1:7" ht="18" customHeight="1">
      <c r="A19" t="s">
        <v>51</v>
      </c>
      <c r="B19" s="19">
        <v>80.56</v>
      </c>
      <c r="C19" s="26">
        <v>72.22</v>
      </c>
      <c r="D19" s="21">
        <v>58.33</v>
      </c>
      <c r="E19" s="21">
        <v>75</v>
      </c>
      <c r="F19" s="22">
        <f t="shared" si="1"/>
        <v>71.527500000000003</v>
      </c>
    </row>
    <row r="21" spans="1:7" ht="18" customHeight="1">
      <c r="A21" s="15" t="s">
        <v>53</v>
      </c>
      <c r="B21" s="16" t="s">
        <v>54</v>
      </c>
      <c r="C21" s="16" t="s">
        <v>55</v>
      </c>
      <c r="D21" s="16" t="s">
        <v>56</v>
      </c>
      <c r="E21" s="16" t="s">
        <v>57</v>
      </c>
      <c r="F21" s="17" t="s">
        <v>43</v>
      </c>
    </row>
    <row r="22" spans="1:7" ht="18" customHeight="1">
      <c r="A22" t="s">
        <v>44</v>
      </c>
      <c r="B22" s="23">
        <v>0</v>
      </c>
      <c r="C22" s="23">
        <v>4.2</v>
      </c>
      <c r="D22" s="23">
        <v>0</v>
      </c>
      <c r="E22" s="23">
        <v>0</v>
      </c>
      <c r="F22" s="23">
        <f t="shared" ref="F22:F29" si="2">AVERAGE(B22:E22)</f>
        <v>1.05</v>
      </c>
    </row>
    <row r="23" spans="1:7" ht="18" customHeight="1">
      <c r="A23" t="s">
        <v>58</v>
      </c>
      <c r="B23" s="23">
        <v>71.7</v>
      </c>
      <c r="C23" s="23">
        <v>50.8</v>
      </c>
      <c r="D23" s="23">
        <v>15</v>
      </c>
      <c r="E23" s="23">
        <v>67.5</v>
      </c>
      <c r="F23" s="23">
        <f t="shared" si="2"/>
        <v>51.25</v>
      </c>
    </row>
    <row r="24" spans="1:7" ht="18" customHeight="1">
      <c r="A24" t="s">
        <v>46</v>
      </c>
      <c r="B24" s="23">
        <v>4.2</v>
      </c>
      <c r="C24" s="23">
        <v>0</v>
      </c>
      <c r="D24" s="23">
        <v>0</v>
      </c>
      <c r="E24" s="23">
        <v>12.5</v>
      </c>
      <c r="F24" s="23">
        <f t="shared" si="2"/>
        <v>4.1749999999999998</v>
      </c>
    </row>
    <row r="25" spans="1:7" ht="18" customHeight="1">
      <c r="A25" t="s">
        <v>47</v>
      </c>
      <c r="B25" s="23">
        <v>16.7</v>
      </c>
      <c r="C25" s="23">
        <v>25</v>
      </c>
      <c r="D25" s="23">
        <v>29.2</v>
      </c>
      <c r="E25" s="25">
        <v>100</v>
      </c>
      <c r="F25" s="23">
        <f t="shared" si="2"/>
        <v>42.725000000000001</v>
      </c>
    </row>
    <row r="26" spans="1:7" ht="18" customHeight="1">
      <c r="A26" t="s">
        <v>59</v>
      </c>
      <c r="B26" s="23">
        <v>29.1</v>
      </c>
      <c r="C26" s="23">
        <v>0</v>
      </c>
      <c r="D26" s="23">
        <v>16.600000000000001</v>
      </c>
      <c r="E26" s="23">
        <v>62.5</v>
      </c>
      <c r="F26" s="23">
        <f t="shared" si="2"/>
        <v>27.05</v>
      </c>
    </row>
    <row r="27" spans="1:7" ht="18" customHeight="1">
      <c r="A27" t="s">
        <v>60</v>
      </c>
      <c r="B27" s="23">
        <v>29.1</v>
      </c>
      <c r="C27" s="23">
        <v>21.9</v>
      </c>
      <c r="D27" s="23">
        <v>10.8</v>
      </c>
      <c r="E27" s="23">
        <v>66.599999999999994</v>
      </c>
      <c r="F27" s="23">
        <f t="shared" si="2"/>
        <v>32.099999999999994</v>
      </c>
    </row>
    <row r="28" spans="1:7" ht="18" customHeight="1">
      <c r="A28" t="s">
        <v>50</v>
      </c>
      <c r="B28" s="23">
        <v>75.3</v>
      </c>
      <c r="C28" s="23">
        <v>54.3</v>
      </c>
      <c r="D28" s="25">
        <v>57</v>
      </c>
      <c r="E28" s="23">
        <v>61.3</v>
      </c>
      <c r="F28" s="23">
        <f t="shared" si="2"/>
        <v>61.974999999999994</v>
      </c>
    </row>
    <row r="29" spans="1:7" ht="18" customHeight="1">
      <c r="A29" t="s">
        <v>51</v>
      </c>
      <c r="B29" s="21">
        <v>83.3</v>
      </c>
      <c r="C29" s="21">
        <v>75</v>
      </c>
      <c r="D29" s="26">
        <v>37.5</v>
      </c>
      <c r="E29" s="21">
        <v>100</v>
      </c>
      <c r="F29" s="27">
        <f t="shared" si="2"/>
        <v>73.95</v>
      </c>
    </row>
    <row r="31" spans="1:7" ht="18" customHeight="1">
      <c r="A31" t="s">
        <v>61</v>
      </c>
      <c r="B31" s="17" t="s">
        <v>62</v>
      </c>
      <c r="C31" s="17" t="s">
        <v>63</v>
      </c>
      <c r="D31" s="17" t="s">
        <v>64</v>
      </c>
      <c r="E31" s="17" t="s">
        <v>65</v>
      </c>
      <c r="F31" s="17" t="s">
        <v>66</v>
      </c>
      <c r="G31" s="17" t="s">
        <v>43</v>
      </c>
    </row>
    <row r="32" spans="1:7" ht="18" customHeight="1">
      <c r="A32" s="15" t="s">
        <v>47</v>
      </c>
      <c r="B32" s="17" t="s">
        <v>67</v>
      </c>
      <c r="C32" s="19">
        <v>78.599999999999994</v>
      </c>
      <c r="D32" s="19">
        <v>88.2</v>
      </c>
      <c r="E32" s="19">
        <v>89.9</v>
      </c>
      <c r="F32" s="19">
        <v>55.5</v>
      </c>
      <c r="G32" s="19">
        <f t="shared" ref="G32:G40" si="3">AVERAGE(C32:F32)</f>
        <v>78.050000000000011</v>
      </c>
    </row>
    <row r="33" spans="1:7" ht="18" customHeight="1">
      <c r="A33" s="15" t="s">
        <v>68</v>
      </c>
      <c r="B33" s="17" t="s">
        <v>67</v>
      </c>
      <c r="C33" s="23">
        <v>87.6</v>
      </c>
      <c r="D33" s="23">
        <v>87.5</v>
      </c>
      <c r="E33" s="23">
        <v>91.6</v>
      </c>
      <c r="F33" s="23">
        <v>69</v>
      </c>
      <c r="G33" s="19">
        <f t="shared" si="3"/>
        <v>83.924999999999997</v>
      </c>
    </row>
    <row r="34" spans="1:7" ht="18" customHeight="1">
      <c r="A34" s="15" t="s">
        <v>69</v>
      </c>
      <c r="B34" s="17" t="s">
        <v>67</v>
      </c>
      <c r="C34" s="19">
        <v>93</v>
      </c>
      <c r="D34" s="19">
        <v>94.4</v>
      </c>
      <c r="E34" s="19">
        <v>97.6</v>
      </c>
      <c r="F34" s="19">
        <v>90.6</v>
      </c>
      <c r="G34" s="19">
        <f t="shared" si="3"/>
        <v>93.9</v>
      </c>
    </row>
    <row r="35" spans="1:7" ht="18" customHeight="1">
      <c r="A35" s="51" t="s">
        <v>138</v>
      </c>
      <c r="B35" s="17" t="s">
        <v>67</v>
      </c>
      <c r="C35" s="23">
        <v>97.5</v>
      </c>
      <c r="D35" s="23">
        <v>97.65</v>
      </c>
      <c r="E35" s="23">
        <v>98.45</v>
      </c>
      <c r="F35" s="23">
        <v>94.35</v>
      </c>
      <c r="G35" s="19">
        <f t="shared" si="3"/>
        <v>96.987500000000011</v>
      </c>
    </row>
    <row r="36" spans="1:7" ht="18" customHeight="1">
      <c r="A36" s="15" t="s">
        <v>46</v>
      </c>
      <c r="B36" s="17" t="s">
        <v>67</v>
      </c>
      <c r="C36" s="23">
        <v>79.2</v>
      </c>
      <c r="D36" s="23">
        <v>84.7</v>
      </c>
      <c r="E36" s="23">
        <v>88.4</v>
      </c>
      <c r="F36" s="23">
        <v>53.7</v>
      </c>
      <c r="G36" s="19">
        <f t="shared" si="3"/>
        <v>76.5</v>
      </c>
    </row>
    <row r="37" spans="1:7" ht="18" customHeight="1">
      <c r="A37" s="15" t="s">
        <v>70</v>
      </c>
      <c r="B37" s="17" t="s">
        <v>67</v>
      </c>
      <c r="C37" s="23">
        <v>97.9</v>
      </c>
      <c r="D37" s="23">
        <v>97.6</v>
      </c>
      <c r="E37" s="23">
        <v>98.4</v>
      </c>
      <c r="F37" s="25">
        <v>94.5</v>
      </c>
      <c r="G37" s="21">
        <f t="shared" si="3"/>
        <v>97.1</v>
      </c>
    </row>
    <row r="38" spans="1:7" ht="18" customHeight="1">
      <c r="A38" s="15" t="s">
        <v>48</v>
      </c>
      <c r="B38" s="17" t="s">
        <v>67</v>
      </c>
      <c r="C38" s="23">
        <v>95.8</v>
      </c>
      <c r="D38" s="23">
        <v>96.8</v>
      </c>
      <c r="E38" s="25">
        <v>98.8</v>
      </c>
      <c r="F38" s="23">
        <v>85.2</v>
      </c>
      <c r="G38" s="19">
        <f t="shared" si="3"/>
        <v>94.149999999999991</v>
      </c>
    </row>
    <row r="39" spans="1:7" ht="18" customHeight="1">
      <c r="A39" s="15" t="s">
        <v>49</v>
      </c>
      <c r="B39" s="17" t="s">
        <v>67</v>
      </c>
      <c r="C39" s="23">
        <v>88.6</v>
      </c>
      <c r="D39" s="23">
        <v>96.4</v>
      </c>
      <c r="E39" s="23">
        <v>96.8</v>
      </c>
      <c r="F39" s="23">
        <v>60.2</v>
      </c>
      <c r="G39" s="19">
        <f t="shared" si="3"/>
        <v>85.5</v>
      </c>
    </row>
    <row r="40" spans="1:7" ht="18" customHeight="1">
      <c r="A40" s="15" t="s">
        <v>71</v>
      </c>
      <c r="B40" s="17" t="s">
        <v>67</v>
      </c>
      <c r="C40" s="25">
        <v>98</v>
      </c>
      <c r="D40" s="25">
        <v>98.8</v>
      </c>
      <c r="E40" s="23">
        <v>98.2</v>
      </c>
      <c r="F40" s="23">
        <v>92.4</v>
      </c>
      <c r="G40" s="19">
        <f t="shared" si="3"/>
        <v>96.85</v>
      </c>
    </row>
    <row r="41" spans="1:7">
      <c r="A41" s="15"/>
      <c r="B41" s="17"/>
      <c r="C41" s="23"/>
      <c r="D41" s="23"/>
      <c r="E41" s="23"/>
      <c r="F41" s="23"/>
      <c r="G41" s="19"/>
    </row>
    <row r="42" spans="1:7">
      <c r="A42" t="s">
        <v>72</v>
      </c>
      <c r="B42" s="17" t="s">
        <v>73</v>
      </c>
      <c r="C42" s="19">
        <v>68.3</v>
      </c>
      <c r="D42" s="19">
        <v>78.3</v>
      </c>
      <c r="E42" s="19">
        <v>92.5</v>
      </c>
      <c r="F42" s="19">
        <v>50.5</v>
      </c>
      <c r="G42" s="19">
        <f>AVERAGE(C42:F42)</f>
        <v>72.400000000000006</v>
      </c>
    </row>
    <row r="43" spans="1:7">
      <c r="A43" t="s">
        <v>70</v>
      </c>
      <c r="B43" s="17" t="s">
        <v>73</v>
      </c>
      <c r="C43" s="19">
        <v>91.7</v>
      </c>
      <c r="D43" s="19">
        <v>94.3</v>
      </c>
      <c r="E43" s="19">
        <v>95.2</v>
      </c>
      <c r="F43" s="19">
        <v>86.5</v>
      </c>
      <c r="G43" s="19">
        <f>AVERAGE(C43:F43)</f>
        <v>91.924999999999997</v>
      </c>
    </row>
    <row r="44" spans="1:7" ht="19">
      <c r="A44" s="15" t="s">
        <v>49</v>
      </c>
      <c r="B44" s="17" t="s">
        <v>73</v>
      </c>
      <c r="C44" s="19">
        <v>89</v>
      </c>
      <c r="D44" s="19">
        <v>87</v>
      </c>
      <c r="E44" s="19">
        <v>63</v>
      </c>
      <c r="F44" s="19">
        <v>48</v>
      </c>
      <c r="G44" s="19">
        <f>AVERAGE(C44:F44)</f>
        <v>71.75</v>
      </c>
    </row>
    <row r="45" spans="1:7" ht="19">
      <c r="A45" s="15" t="s">
        <v>71</v>
      </c>
      <c r="B45" s="17" t="s">
        <v>73</v>
      </c>
      <c r="C45" s="19">
        <v>94.6</v>
      </c>
      <c r="D45" s="19">
        <v>96.6</v>
      </c>
      <c r="E45" s="19">
        <v>97.2</v>
      </c>
      <c r="F45" s="19">
        <v>85.8</v>
      </c>
      <c r="G45" s="19">
        <f>AVERAGE(C45:F45)</f>
        <v>93.55</v>
      </c>
    </row>
    <row r="46" spans="1:7">
      <c r="A46" t="s">
        <v>51</v>
      </c>
      <c r="B46" s="17" t="s">
        <v>73</v>
      </c>
      <c r="C46" s="21">
        <v>97.4</v>
      </c>
      <c r="D46" s="21">
        <v>97.8</v>
      </c>
      <c r="E46" s="21">
        <v>99.2</v>
      </c>
      <c r="F46" s="21">
        <v>93.2</v>
      </c>
      <c r="G46" s="21">
        <f>AVERAGE(C46:F46)</f>
        <v>96.899999999999991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Compare"/>
  <dimension ref="A1:H13"/>
  <sheetViews>
    <sheetView workbookViewId="0"/>
  </sheetViews>
  <sheetFormatPr baseColWidth="10" defaultColWidth="13.7109375" defaultRowHeight="18" customHeight="1"/>
  <sheetData>
    <row r="1" spans="1:8" ht="18" customHeight="1">
      <c r="A1" s="17" t="s">
        <v>74</v>
      </c>
      <c r="B1" t="s">
        <v>75</v>
      </c>
      <c r="C1" t="s">
        <v>76</v>
      </c>
      <c r="D1" s="28" t="s">
        <v>77</v>
      </c>
      <c r="E1" s="28" t="s">
        <v>78</v>
      </c>
      <c r="F1" s="28" t="s">
        <v>79</v>
      </c>
      <c r="G1" s="28" t="s">
        <v>80</v>
      </c>
      <c r="H1" s="17" t="s">
        <v>43</v>
      </c>
    </row>
    <row r="2" spans="1:8" ht="18" customHeight="1">
      <c r="A2" s="50" t="s">
        <v>81</v>
      </c>
      <c r="B2" t="s">
        <v>21</v>
      </c>
      <c r="C2" t="s">
        <v>82</v>
      </c>
      <c r="D2" s="29">
        <v>0.93400000000000005</v>
      </c>
      <c r="E2" s="29">
        <v>0.89600000000000002</v>
      </c>
      <c r="F2" s="29">
        <v>0.99</v>
      </c>
      <c r="G2" s="29">
        <v>0.872</v>
      </c>
      <c r="H2" s="30">
        <f>AVERAGE(D2:G2)</f>
        <v>0.92300000000000004</v>
      </c>
    </row>
    <row r="3" spans="1:8" ht="18" customHeight="1">
      <c r="A3" s="46"/>
      <c r="B3" t="s">
        <v>83</v>
      </c>
      <c r="C3" t="s">
        <v>82</v>
      </c>
      <c r="D3" s="29">
        <v>0.88200000000000001</v>
      </c>
      <c r="E3" s="29">
        <v>0.93</v>
      </c>
      <c r="F3" s="29">
        <v>0.91400000000000003</v>
      </c>
      <c r="G3" s="29">
        <v>0.54600000000000004</v>
      </c>
      <c r="H3" s="29">
        <v>0.81799999999999995</v>
      </c>
    </row>
    <row r="4" spans="1:8" ht="18" customHeight="1">
      <c r="A4" s="46"/>
      <c r="B4" t="s">
        <v>21</v>
      </c>
      <c r="C4" t="s">
        <v>84</v>
      </c>
      <c r="D4" s="29">
        <v>0.97</v>
      </c>
      <c r="E4" s="29">
        <v>0.95399999999999996</v>
      </c>
      <c r="F4" s="29">
        <v>0.99</v>
      </c>
      <c r="G4" s="29">
        <v>0.92600000000000005</v>
      </c>
      <c r="H4" s="30">
        <f>AVERAGE(D4:G4)</f>
        <v>0.96</v>
      </c>
    </row>
    <row r="5" spans="1:8" ht="18" customHeight="1">
      <c r="A5" s="46"/>
      <c r="B5" t="s">
        <v>83</v>
      </c>
      <c r="C5" t="s">
        <v>84</v>
      </c>
      <c r="D5" s="29">
        <v>0.96799999999999997</v>
      </c>
      <c r="E5" s="29">
        <v>0.94</v>
      </c>
      <c r="F5" s="29">
        <v>0.998</v>
      </c>
      <c r="G5" s="29">
        <v>0.92200000000000004</v>
      </c>
      <c r="H5" s="29">
        <f>AVERAGE(D5:G5)</f>
        <v>0.95699999999999996</v>
      </c>
    </row>
    <row r="6" spans="1:8" ht="18" customHeight="1">
      <c r="A6" s="46"/>
      <c r="B6" t="s">
        <v>21</v>
      </c>
      <c r="C6" t="s">
        <v>85</v>
      </c>
      <c r="D6" s="29">
        <v>0.97399999999999998</v>
      </c>
      <c r="E6" s="29">
        <v>0.97799999999999998</v>
      </c>
      <c r="F6" s="29">
        <v>0.99199999999999999</v>
      </c>
      <c r="G6" s="29">
        <v>0.93200000000000005</v>
      </c>
      <c r="H6" s="30">
        <f>AVERAGE(D6:G6)</f>
        <v>0.96899999999999997</v>
      </c>
    </row>
    <row r="7" spans="1:8" ht="18" customHeight="1">
      <c r="A7" s="46"/>
      <c r="B7" t="s">
        <v>83</v>
      </c>
      <c r="C7" t="s">
        <v>85</v>
      </c>
      <c r="D7" s="29">
        <v>0.97799999999999998</v>
      </c>
      <c r="E7" s="29">
        <v>0.93799999999999994</v>
      </c>
      <c r="F7" s="29">
        <v>0.996</v>
      </c>
      <c r="G7" s="29">
        <v>0.93400000000000005</v>
      </c>
      <c r="H7" s="29">
        <v>0.96150000000000002</v>
      </c>
    </row>
    <row r="8" spans="1:8" ht="18" customHeight="1">
      <c r="A8" s="50" t="s">
        <v>86</v>
      </c>
      <c r="B8" t="s">
        <v>21</v>
      </c>
      <c r="C8" t="s">
        <v>82</v>
      </c>
      <c r="D8" s="29">
        <v>0.96399999999999997</v>
      </c>
      <c r="E8" s="29">
        <v>0.92400000000000004</v>
      </c>
      <c r="F8" s="29">
        <v>0.99</v>
      </c>
      <c r="G8" s="29">
        <v>0.73599999999999999</v>
      </c>
      <c r="H8" s="30">
        <f>AVERAGE(D8:G8)</f>
        <v>0.90349999999999997</v>
      </c>
    </row>
    <row r="9" spans="1:8" ht="18" customHeight="1">
      <c r="A9" s="46"/>
      <c r="B9" t="s">
        <v>83</v>
      </c>
      <c r="C9" t="s">
        <v>82</v>
      </c>
      <c r="D9" s="29">
        <v>0.95599999999999996</v>
      </c>
      <c r="E9" s="29">
        <v>0.95599999999999996</v>
      </c>
      <c r="F9" s="29">
        <v>0.98399999999999999</v>
      </c>
      <c r="G9" s="29">
        <v>0.66400000000000003</v>
      </c>
      <c r="H9" s="29">
        <v>0.89</v>
      </c>
    </row>
    <row r="10" spans="1:8" ht="18" customHeight="1">
      <c r="A10" s="46"/>
      <c r="B10" t="s">
        <v>21</v>
      </c>
      <c r="C10" t="s">
        <v>84</v>
      </c>
      <c r="D10" s="29">
        <v>0.97599999999999998</v>
      </c>
      <c r="E10" s="29">
        <v>0.95399999999999996</v>
      </c>
      <c r="F10" s="29">
        <v>0.99</v>
      </c>
      <c r="G10" s="29">
        <v>0.95799999999999996</v>
      </c>
      <c r="H10" s="30">
        <f>AVERAGE(D10:G10)</f>
        <v>0.96950000000000003</v>
      </c>
    </row>
    <row r="11" spans="1:8" ht="18" customHeight="1">
      <c r="A11" s="46"/>
      <c r="B11" t="s">
        <v>83</v>
      </c>
      <c r="C11" t="s">
        <v>84</v>
      </c>
      <c r="D11" s="29">
        <v>0.97399999999999998</v>
      </c>
      <c r="E11" s="29">
        <v>0.95799999999999996</v>
      </c>
      <c r="F11" s="29">
        <v>0.996</v>
      </c>
      <c r="G11" s="29">
        <v>0.9</v>
      </c>
      <c r="H11" s="29">
        <v>0.95699999999999996</v>
      </c>
    </row>
    <row r="12" spans="1:8" ht="18" customHeight="1">
      <c r="A12" s="46"/>
      <c r="B12" t="s">
        <v>21</v>
      </c>
      <c r="C12" t="s">
        <v>85</v>
      </c>
      <c r="D12" s="29">
        <v>0.98199999999999998</v>
      </c>
      <c r="E12" s="29">
        <v>0.95599999999999996</v>
      </c>
      <c r="F12" s="29">
        <v>0.99399999999999999</v>
      </c>
      <c r="G12" s="29">
        <v>0.94799999999999995</v>
      </c>
      <c r="H12" s="30">
        <f>AVERAGE(D12:G12)</f>
        <v>0.97</v>
      </c>
    </row>
    <row r="13" spans="1:8" ht="18" customHeight="1">
      <c r="A13" s="46"/>
      <c r="B13" t="s">
        <v>83</v>
      </c>
      <c r="C13" t="s">
        <v>85</v>
      </c>
      <c r="D13" s="29">
        <v>0.98399999999999999</v>
      </c>
      <c r="E13" s="29">
        <v>0.94599999999999995</v>
      </c>
      <c r="F13" s="29">
        <v>0.998</v>
      </c>
      <c r="G13" s="29">
        <v>0.92800000000000005</v>
      </c>
      <c r="H13" s="29">
        <v>0.96399999999999997</v>
      </c>
    </row>
  </sheetData>
  <mergeCells count="2">
    <mergeCell ref="A2:A7"/>
    <mergeCell ref="A8:A1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Affordance</vt:lpstr>
      <vt:lpstr>VLM</vt:lpstr>
      <vt:lpstr>VLA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Yifu Yuan</cp:lastModifiedBy>
  <dcterms:created xsi:type="dcterms:W3CDTF">2026-02-14T12:45:03Z</dcterms:created>
  <dcterms:modified xsi:type="dcterms:W3CDTF">2026-02-14T06:36:17Z</dcterms:modified>
</cp:coreProperties>
</file>